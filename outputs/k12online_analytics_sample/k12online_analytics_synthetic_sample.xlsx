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2d27a1c8e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tics sample" sheetId="1" r:id="R4e38364d0baf4a99"/>
    <x:sheet xmlns:r="http://schemas.openxmlformats.org/officeDocument/2006/relationships" name="Data dictionary" sheetId="2" r:id="R3d2c0f98e50b4e41"/>
    <x:sheet xmlns:r="http://schemas.openxmlformats.org/officeDocument/2006/relationships" name="Dashboard" sheetId="3" r:id="Re08beeef07b2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%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4"/>
      <x:color rgb="FF0F172A"/>
      <x:name val="Carlito"/>
    </x:font>
    <x:font>
      <x:b/>
      <x:sz val="11"/>
      <x:color rgb="FF312E8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E0E7FF"/>
      </x:patternFill>
    </x:fill>
  </x:fills>
  <x:borders count="3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93C5FD"/>
      </x:left>
      <x:top style="thin">
        <x:color rgb="FF93C5FD"/>
      </x:top>
      <x:bottom style="thin">
        <x:color rgb="FF93C5FD"/>
      </x:bottom>
    </x:border>
    <x:border>
      <x:top style="thin">
        <x:color rgb="FF93C5FD"/>
      </x:top>
      <x:bottom style="thin">
        <x:color rgb="FF93C5FD"/>
      </x:bottom>
    </x:border>
    <x:border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right style="thin">
        <x:color rgb="FFC7D2FE"/>
      </x:right>
      <x:bottom style="thin">
        <x:color rgb="FFC7D2FE"/>
      </x:bottom>
    </x:border>
    <x:border>
      <x:left style="thin">
        <x:color rgb="FFC7D2FE"/>
      </x:left>
      <x:right style="thin">
        <x:color rgb="FFC7D2FE"/>
      </x:right>
      <x:bottom style="thin">
        <x:color rgb="FFC7D2FE"/>
      </x:bottom>
    </x:border>
    <x:border>
      <x:left style="thin">
        <x:color rgb="FFC7D2FE"/>
      </x:left>
      <x:bottom style="thin">
        <x:color rgb="FFC7D2FE"/>
      </x:bottom>
    </x:border>
    <x:border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C7D2FE"/>
      </x:left>
      <x:top style="thin">
        <x:color rgb="FFC7D2FE"/>
      </x:top>
      <x:bottom style="thin">
        <x:color rgb="FFC7D2FE"/>
      </x:bottom>
    </x:border>
    <x:border>
      <x:right style="thin">
        <x:color rgb="FFC7D2FE"/>
      </x:right>
      <x:top style="thin">
        <x:color rgb="FFC7D2FE"/>
      </x:top>
    </x:border>
    <x:border>
      <x:left style="thin">
        <x:color rgb="FFC7D2FE"/>
      </x:left>
      <x:right style="thin">
        <x:color rgb="FFC7D2FE"/>
      </x:right>
      <x:top style="thin">
        <x:color rgb="FFC7D2FE"/>
      </x:top>
    </x:border>
    <x:border>
      <x:left style="thin">
        <x:color rgb="FFC7D2FE"/>
      </x:left>
      <x:top style="thin">
        <x:color rgb="FFC7D2FE"/>
      </x:top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4" fillId="6" borderId="19" xfId="0" applyNumberFormat="1" applyFont="1" applyFill="1" applyBorder="1" applyAlignment="1">
      <x:alignment horizontal="center"/>
    </x:xf>
    <x:xf numFmtId="0" fontId="4" fillId="6" borderId="20" xfId="0" applyNumberFormat="1" applyFont="1" applyFill="1" applyBorder="1" applyAlignment="1">
      <x:alignment horizontal="center"/>
    </x:xf>
    <x:xf numFmtId="0" fontId="4" fillId="6" borderId="21" xfId="0" applyNumberFormat="1" applyFont="1" applyFill="1" applyBorder="1" applyAlignment="1">
      <x:alignment horizontal="center"/>
    </x:xf>
    <x:xf numFmtId="203" fontId="4" fillId="6" borderId="20" xfId="0" applyNumberFormat="1" applyFont="1" applyFill="1" applyBorder="1" applyAlignment="1">
      <x:alignment horizontal="center"/>
    </x:xf>
    <x:xf numFmtId="203" fontId="4" fillId="6" borderId="2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3" fontId="0" fillId="0" borderId="0" xfId="0" applyNumberFormat="1" applyFont="1" applyFill="1" applyBorder="1"/>
    <x:xf numFmtId="0" fontId="5" fillId="7" borderId="22" xfId="0" applyNumberFormat="1" applyFont="1" applyFill="1" applyBorder="1"/>
    <x:xf numFmtId="0" fontId="5" fillId="7" borderId="23" xfId="0" applyNumberFormat="1" applyFont="1" applyFill="1" applyBorder="1"/>
    <x:xf numFmtId="0" fontId="5" fillId="7" borderId="24" xfId="0" applyNumberFormat="1" applyFont="1" applyFill="1" applyBorder="1"/>
    <x:xf numFmtId="0" fontId="0" fillId="0" borderId="25" xfId="0" applyNumberFormat="1" applyFont="1" applyFill="1" applyBorder="1"/>
    <x:xf numFmtId="203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203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2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4" fillId="6" borderId="19" xfId="0" applyNumberFormat="1" applyFont="1" applyFill="1" applyBorder="1" applyAlignment="1">
      <x:alignment horizontal="center" wrapText="1"/>
    </x:xf>
    <x:xf numFmtId="0" fontId="4" fillId="6" borderId="20" xfId="0" applyNumberFormat="1" applyFont="1" applyFill="1" applyBorder="1" applyAlignment="1">
      <x:alignment horizontal="center" wrapText="1"/>
    </x:xf>
    <x:xf numFmtId="203" fontId="4" fillId="6" borderId="20" xfId="0" applyNumberFormat="1" applyFont="1" applyFill="1" applyBorder="1" applyAlignment="1">
      <x:alignment horizontal="center" wrapText="1"/>
    </x:xf>
    <x:xf numFmtId="203" fontId="4" fillId="6" borderId="21" xfId="0" applyNumberFormat="1" applyFont="1" applyFill="1" applyBorder="1" applyAlignment="1">
      <x:alignment horizontal="center" wrapText="1"/>
    </x:xf>
    <x:xf numFmtId="0" fontId="5" fillId="7" borderId="22" xfId="0" applyNumberFormat="1" applyFont="1" applyFill="1" applyBorder="1" applyAlignment="1">
      <x:alignment wrapText="1"/>
    </x:xf>
    <x:xf numFmtId="0" fontId="5" fillId="7" borderId="23" xfId="0" applyNumberFormat="1" applyFont="1" applyFill="1" applyBorder="1" applyAlignment="1">
      <x:alignment wrapText="1"/>
    </x:xf>
    <x:xf numFmtId="0" fontId="5" fillId="7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203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bc842c5fd463c" /><Relationship Type="http://schemas.openxmlformats.org/officeDocument/2006/relationships/theme" Target="/xl/theme/theme1.xml" Id="Ra73ddd08318940ad" /><Relationship Type="http://schemas.openxmlformats.org/officeDocument/2006/relationships/sharedStrings" Target="/xl/sharedStrings.xml" Id="Rfab871c6bec04e76" /><Relationship Type="http://schemas.openxmlformats.org/officeDocument/2006/relationships/worksheet" Target="/xl/worksheets/sheet1.xml" Id="R4e38364d0baf4a99" /><Relationship Type="http://schemas.openxmlformats.org/officeDocument/2006/relationships/worksheet" Target="/xl/worksheets/sheet2.xml" Id="R3d2c0f98e50b4e41" /><Relationship Type="http://schemas.openxmlformats.org/officeDocument/2006/relationships/worksheet" Target="/xl/worksheets/sheet3.xml" Id="Re08beeef07b2470c" /></Relationships>
</file>

<file path=xl/tables/table1.xml><?xml version="1.0" encoding="utf-8"?>
<x:table xmlns:x="http://schemas.openxmlformats.org/spreadsheetml/2006/main" id="1" name="SyntheticK12OnlineData" displayName="SyntheticK12OnlineData" ref="A1:V9" headerRowCount="1" totalsRowCount="0" totalsRowShown="0">
  <x:tableColumns count="22">
    <x:tableColumn id="1" name="source_row_id"/>
    <x:tableColumn id="2" name="learner_pseudonym"/>
    <x:tableColumn id="3" name="course_external_id"/>
    <x:tableColumn id="4" name="course_title"/>
    <x:tableColumn id="5" name="class_code"/>
    <x:tableColumn id="6" name="lesson_external_id"/>
    <x:tableColumn id="7" name="lesson_title"/>
    <x:tableColumn id="8" name="activity_date"/>
    <x:tableColumn id="9" name="first_activity_at"/>
    <x:tableColumn id="10" name="last_activity_at"/>
    <x:tableColumn id="11" name="duration_minutes"/>
    <x:tableColumn id="12" name="completion_percent"/>
    <x:tableColumn id="13" name="completion_status"/>
    <x:tableColumn id="14" name="score"/>
    <x:tableColumn id="15" name="max_score"/>
    <x:tableColumn id="16" name="attempt_number"/>
    <x:tableColumn id="17" name="correct_answers"/>
    <x:tableColumn id="18" name="total_questions"/>
    <x:tableColumn id="19" name="correct_rate"/>
    <x:tableColumn id="20" name="source_report_type"/>
    <x:tableColumn id="21" name="source_generated_at"/>
    <x:tableColumn id="2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825dff067f4c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.880000114440918" hidden="0" customWidth="1"/>
    <x:col min="3" max="3" width="15.130000114440918" hidden="0" customWidth="1"/>
    <x:col min="4" max="4" width="14.630000114440918" hidden="0" customWidth="1"/>
    <x:col min="5" max="5" width="8.75" hidden="0" customWidth="1"/>
    <x:col min="6" max="6" width="14.880000114440918" hidden="0" customWidth="1"/>
    <x:col min="7" max="7" width="14.130000114440918" hidden="0" customWidth="1"/>
    <x:col min="8" max="8" width="10.5" hidden="0" customWidth="1"/>
    <x:col min="9" max="9" width="13.75" hidden="0" customWidth="1"/>
    <x:col min="10" max="10" width="13.75" hidden="0" customWidth="1"/>
    <x:col min="11" max="11" width="14.130000114440918" hidden="0" customWidth="1"/>
    <x:col min="12" max="12" width="15.880000114440918" hidden="0" customWidth="1"/>
    <x:col min="13" max="13" width="14.630000114440918" hidden="0" customWidth="1"/>
    <x:col min="14" max="14" width="4.630000114440918" hidden="0" customWidth="1"/>
    <x:col min="15" max="15" width="8.75" hidden="0" customWidth="1"/>
    <x:col min="16" max="16" width="13.630000114440918" hidden="0" customWidth="1"/>
    <x:col min="17" max="17" width="13.130000114440918" hidden="0" customWidth="1"/>
    <x:col min="18" max="18" width="12.380000114440918" hidden="0" customWidth="1"/>
    <x:col min="19" max="19" width="9.880000114440918" hidden="0" customWidth="1"/>
    <x:col min="20" max="20" width="15.630000114440918" hidden="0" customWidth="1"/>
    <x:col min="21" max="21" width="16.6299991607666" hidden="0" customWidth="1"/>
    <x:col min="22" max="22" width="22" hidden="0" customWidth="1"/>
  </x:cols>
  <x:sheetData>
    <x:row r="1">
      <x:c r="A1" s="16" t="str">
        <x:v>source_row_id</x:v>
      </x:c>
      <x:c r="B1" s="17" t="str">
        <x:v>learner_pseudonym</x:v>
      </x:c>
      <x:c r="C1" s="17" t="str">
        <x:v>course_external_id</x:v>
      </x:c>
      <x:c r="D1" s="17" t="str">
        <x:v>course_title</x:v>
      </x:c>
      <x:c r="E1" s="17" t="str">
        <x:v>class_code</x:v>
      </x:c>
      <x:c r="F1" s="17" t="str">
        <x:v>lesson_external_id</x:v>
      </x:c>
      <x:c r="G1" s="17" t="str">
        <x:v>lesson_title</x:v>
      </x:c>
      <x:c r="H1" s="17" t="str">
        <x:v>activity_date</x:v>
      </x:c>
      <x:c r="I1" s="17" t="str">
        <x:v>first_activity_at</x:v>
      </x:c>
      <x:c r="J1" s="17" t="str">
        <x:v>last_activity_at</x:v>
      </x:c>
      <x:c r="K1" s="17" t="str">
        <x:v>duration_minutes</x:v>
      </x:c>
      <x:c r="L1" s="17" t="str">
        <x:v>completion_percent</x:v>
      </x:c>
      <x:c r="M1" s="17" t="str">
        <x:v>completion_status</x:v>
      </x:c>
      <x:c r="N1" s="17" t="str">
        <x:v>score</x:v>
      </x:c>
      <x:c r="O1" s="17" t="str">
        <x:v>max_score</x:v>
      </x:c>
      <x:c r="P1" s="17" t="str">
        <x:v>attempt_number</x:v>
      </x:c>
      <x:c r="Q1" s="17" t="str">
        <x:v>correct_answers</x:v>
      </x:c>
      <x:c r="R1" s="17" t="str">
        <x:v>total_questions</x:v>
      </x:c>
      <x:c r="S1" s="17" t="str">
        <x:v>correct_rate</x:v>
      </x:c>
      <x:c r="T1" s="17" t="str">
        <x:v>source_report_type</x:v>
      </x:c>
      <x:c r="U1" s="17" t="str">
        <x:v>source_generated_at</x:v>
      </x:c>
      <x:c r="V1" s="18" t="str">
        <x:v>source_url</x:v>
      </x:c>
    </x:row>
    <x:row r="2">
      <x:c r="A2" s="27" t="str">
        <x:v>synthetic-001</x:v>
      </x:c>
      <x:c r="B2" s="28" t="str">
        <x:v>HS-001</x:v>
      </x:c>
      <x:c r="C2" s="28" t="str">
        <x:v>COURSE-SCI-8</x:v>
      </x:c>
      <x:c r="D2" s="28" t="str">
        <x:v>KHTN 8: Hệ hô hấp</x:v>
      </x:c>
      <x:c r="E2" s="28" t="str">
        <x:v>8A1</x:v>
      </x:c>
      <x:c r="F2" s="28" t="str">
        <x:v>LESSON-01</x:v>
      </x:c>
      <x:c r="G2" s="28" t="str">
        <x:v>Cấu tạo hệ hô hấp</x:v>
      </x:c>
      <x:c r="H2" s="29" t="n">
        <x:v>46266</x:v>
      </x:c>
      <x:c r="I2" s="30" t="n">
        <x:v>46266.041666666664</x:v>
      </x:c>
      <x:c r="J2" s="30" t="n">
        <x:v>46266.05416666667</x:v>
      </x:c>
      <x:c r="K2" s="28" t="n">
        <x:v>18</x:v>
      </x:c>
      <x:c r="L2" s="31" t="n">
        <x:v>1</x:v>
      </x:c>
      <x:c r="M2" s="28" t="str">
        <x:v>completed</x:v>
      </x:c>
      <x:c r="N2" s="28" t="n">
        <x:v>8</x:v>
      </x:c>
      <x:c r="O2" s="28" t="n">
        <x:v>10</x:v>
      </x:c>
      <x:c r="P2" s="28" t="n">
        <x:v>1</x:v>
      </x:c>
      <x:c r="Q2" s="28" t="n">
        <x:v>8</x:v>
      </x:c>
      <x:c r="R2" s="28" t="n">
        <x:v>10</x:v>
      </x:c>
      <x:c r="S2" s="32" t="n">
        <x:v>0.8</x:v>
      </x:c>
      <x:c r="T2" s="28" t="str">
        <x:v>lesson_usage</x:v>
      </x:c>
      <x:c r="U2" s="30" t="n">
        <x:v>46267.041666666664</x:v>
      </x:c>
      <x:c r="V2" s="33" t="str">
        <x:v>synthetic://k12online/report</x:v>
      </x:c>
    </x:row>
    <x:row r="3">
      <x:c r="A3" s="27" t="str">
        <x:v>synthetic-002</x:v>
      </x:c>
      <x:c r="B3" s="28" t="str">
        <x:v>HS-002</x:v>
      </x:c>
      <x:c r="C3" s="28" t="str">
        <x:v>COURSE-SCI-8</x:v>
      </x:c>
      <x:c r="D3" s="28" t="str">
        <x:v>KHTN 8: Hệ hô hấp</x:v>
      </x:c>
      <x:c r="E3" s="28" t="str">
        <x:v>8A1</x:v>
      </x:c>
      <x:c r="F3" s="28" t="str">
        <x:v>LESSON-01</x:v>
      </x:c>
      <x:c r="G3" s="28" t="str">
        <x:v>Cấu tạo hệ hô hấp</x:v>
      </x:c>
      <x:c r="H3" s="29" t="n">
        <x:v>46266</x:v>
      </x:c>
      <x:c r="I3" s="30" t="n">
        <x:v>46266.04305555556</x:v>
      </x:c>
      <x:c r="J3" s="30" t="n">
        <x:v>46266.05</x:v>
      </x:c>
      <x:c r="K3" s="28" t="n">
        <x:v>10</x:v>
      </x:c>
      <x:c r="L3" s="31" t="n">
        <x:v>0.75</x:v>
      </x:c>
      <x:c r="M3" s="28" t="str">
        <x:v>in_progress</x:v>
      </x:c>
      <x:c r="N3" s="28" t="n">
        <x:v>6</x:v>
      </x:c>
      <x:c r="O3" s="28" t="n">
        <x:v>10</x:v>
      </x:c>
      <x:c r="P3" s="28" t="n">
        <x:v>1</x:v>
      </x:c>
      <x:c r="Q3" s="28" t="n">
        <x:v>6</x:v>
      </x:c>
      <x:c r="R3" s="28" t="n">
        <x:v>10</x:v>
      </x:c>
      <x:c r="S3" s="32" t="n">
        <x:v>0.6</x:v>
      </x:c>
      <x:c r="T3" s="28" t="str">
        <x:v>lesson_usage</x:v>
      </x:c>
      <x:c r="U3" s="30" t="n">
        <x:v>46267.041666666664</x:v>
      </x:c>
      <x:c r="V3" s="33" t="str">
        <x:v>synthetic://k12online/report</x:v>
      </x:c>
    </x:row>
    <x:row r="4">
      <x:c r="A4" s="27" t="str">
        <x:v>synthetic-003</x:v>
      </x:c>
      <x:c r="B4" s="28" t="str">
        <x:v>HS-003</x:v>
      </x:c>
      <x:c r="C4" s="28" t="str">
        <x:v>COURSE-SCI-8</x:v>
      </x:c>
      <x:c r="D4" s="28" t="str">
        <x:v>KHTN 8: Hệ hô hấp</x:v>
      </x:c>
      <x:c r="E4" s="28" t="str">
        <x:v>8A1</x:v>
      </x:c>
      <x:c r="F4" s="28" t="str">
        <x:v>LESSON-01</x:v>
      </x:c>
      <x:c r="G4" s="28" t="str">
        <x:v>Cấu tạo hệ hô hấp</x:v>
      </x:c>
      <x:c r="H4" s="29" t="n">
        <x:v>46266</x:v>
      </x:c>
      <x:c r="I4" s="30" t="n">
        <x:v>46266.04513888889</x:v>
      </x:c>
      <x:c r="J4" s="30" t="n">
        <x:v>46266.05972222222</x:v>
      </x:c>
      <x:c r="K4" s="28" t="n">
        <x:v>21</x:v>
      </x:c>
      <x:c r="L4" s="31" t="n">
        <x:v>1</x:v>
      </x:c>
      <x:c r="M4" s="28" t="str">
        <x:v>completed</x:v>
      </x:c>
      <x:c r="N4" s="28" t="n">
        <x:v>9</x:v>
      </x:c>
      <x:c r="O4" s="28" t="n">
        <x:v>10</x:v>
      </x:c>
      <x:c r="P4" s="28" t="n">
        <x:v>1</x:v>
      </x:c>
      <x:c r="Q4" s="28" t="n">
        <x:v>9</x:v>
      </x:c>
      <x:c r="R4" s="28" t="n">
        <x:v>10</x:v>
      </x:c>
      <x:c r="S4" s="32" t="n">
        <x:v>0.9</x:v>
      </x:c>
      <x:c r="T4" s="28" t="str">
        <x:v>lesson_usage</x:v>
      </x:c>
      <x:c r="U4" s="30" t="n">
        <x:v>46267.041666666664</x:v>
      </x:c>
      <x:c r="V4" s="33" t="str">
        <x:v>synthetic://k12online/report</x:v>
      </x:c>
    </x:row>
    <x:row r="5">
      <x:c r="A5" s="27" t="str">
        <x:v>synthetic-004</x:v>
      </x:c>
      <x:c r="B5" s="28" t="str">
        <x:v>HS-004</x:v>
      </x:c>
      <x:c r="C5" s="28" t="str">
        <x:v>COURSE-SCI-8</x:v>
      </x:c>
      <x:c r="D5" s="28" t="str">
        <x:v>KHTN 8: Hệ hô hấp</x:v>
      </x:c>
      <x:c r="E5" s="28" t="str">
        <x:v>8A1</x:v>
      </x:c>
      <x:c r="F5" s="28" t="str">
        <x:v>LESSON-01</x:v>
      </x:c>
      <x:c r="G5" s="28" t="str">
        <x:v>Cấu tạo hệ hô hấp</x:v>
      </x:c>
      <x:c r="H5" s="29" t="n">
        <x:v>46266</x:v>
      </x:c>
      <x:c r="I5" s="30" t="n">
        <x:v>46266.04861111111</x:v>
      </x:c>
      <x:c r="J5" s="30" t="n">
        <x:v>46266.052777777775</x:v>
      </x:c>
      <x:c r="K5" s="28" t="n">
        <x:v>6</x:v>
      </x:c>
      <x:c r="L5" s="31" t="n">
        <x:v>0.5</x:v>
      </x:c>
      <x:c r="M5" s="28" t="str">
        <x:v>in_progress</x:v>
      </x:c>
      <x:c r="N5" s="28" t="n">
        <x:v>4</x:v>
      </x:c>
      <x:c r="O5" s="28" t="n">
        <x:v>10</x:v>
      </x:c>
      <x:c r="P5" s="28" t="n">
        <x:v>1</x:v>
      </x:c>
      <x:c r="Q5" s="28" t="n">
        <x:v>4</x:v>
      </x:c>
      <x:c r="R5" s="28" t="n">
        <x:v>10</x:v>
      </x:c>
      <x:c r="S5" s="32" t="n">
        <x:v>0.4</x:v>
      </x:c>
      <x:c r="T5" s="28" t="str">
        <x:v>lesson_usage</x:v>
      </x:c>
      <x:c r="U5" s="30" t="n">
        <x:v>46267.041666666664</x:v>
      </x:c>
      <x:c r="V5" s="33" t="str">
        <x:v>synthetic://k12online/report</x:v>
      </x:c>
    </x:row>
    <x:row r="6">
      <x:c r="A6" s="27" t="str">
        <x:v>synthetic-005</x:v>
      </x:c>
      <x:c r="B6" s="28" t="str">
        <x:v>HS-001</x:v>
      </x:c>
      <x:c r="C6" s="28" t="str">
        <x:v>COURSE-SCI-8</x:v>
      </x:c>
      <x:c r="D6" s="28" t="str">
        <x:v>KHTN 8: Hệ hô hấp</x:v>
      </x:c>
      <x:c r="E6" s="28" t="str">
        <x:v>8A1</x:v>
      </x:c>
      <x:c r="F6" s="28" t="str">
        <x:v>LESSON-02</x:v>
      </x:c>
      <x:c r="G6" s="28" t="str">
        <x:v>Trao đổi khí</x:v>
      </x:c>
      <x:c r="H6" s="29" t="n">
        <x:v>46267</x:v>
      </x:c>
      <x:c r="I6" s="30" t="n">
        <x:v>46267.041666666664</x:v>
      </x:c>
      <x:c r="J6" s="30" t="n">
        <x:v>46267.055555555555</x:v>
      </x:c>
      <x:c r="K6" s="28" t="n">
        <x:v>20</x:v>
      </x:c>
      <x:c r="L6" s="31" t="n">
        <x:v>1</x:v>
      </x:c>
      <x:c r="M6" s="28" t="str">
        <x:v>completed</x:v>
      </x:c>
      <x:c r="N6" s="28" t="n">
        <x:v>7</x:v>
      </x:c>
      <x:c r="O6" s="28" t="n">
        <x:v>10</x:v>
      </x:c>
      <x:c r="P6" s="28" t="n">
        <x:v>1</x:v>
      </x:c>
      <x:c r="Q6" s="28" t="n">
        <x:v>7</x:v>
      </x:c>
      <x:c r="R6" s="28" t="n">
        <x:v>10</x:v>
      </x:c>
      <x:c r="S6" s="32" t="n">
        <x:v>0.7</x:v>
      </x:c>
      <x:c r="T6" s="28" t="str">
        <x:v>lesson_usage</x:v>
      </x:c>
      <x:c r="U6" s="30" t="n">
        <x:v>46267.375</x:v>
      </x:c>
      <x:c r="V6" s="33" t="str">
        <x:v>synthetic://k12online/report</x:v>
      </x:c>
    </x:row>
    <x:row r="7">
      <x:c r="A7" s="27" t="str">
        <x:v>synthetic-006</x:v>
      </x:c>
      <x:c r="B7" s="28" t="str">
        <x:v>HS-002</x:v>
      </x:c>
      <x:c r="C7" s="28" t="str">
        <x:v>COURSE-SCI-8</x:v>
      </x:c>
      <x:c r="D7" s="28" t="str">
        <x:v>KHTN 8: Hệ hô hấp</x:v>
      </x:c>
      <x:c r="E7" s="28" t="str">
        <x:v>8A1</x:v>
      </x:c>
      <x:c r="F7" s="28" t="str">
        <x:v>LESSON-02</x:v>
      </x:c>
      <x:c r="G7" s="28" t="str">
        <x:v>Trao đổi khí</x:v>
      </x:c>
      <x:c r="H7" s="29" t="n">
        <x:v>46267</x:v>
      </x:c>
      <x:c r="I7" s="30" t="n">
        <x:v>46267.04236111111</x:v>
      </x:c>
      <x:c r="J7" s="30" t="n">
        <x:v>46267.05347222222</x:v>
      </x:c>
      <x:c r="K7" s="28" t="n">
        <x:v>16</x:v>
      </x:c>
      <x:c r="L7" s="31" t="n">
        <x:v>1</x:v>
      </x:c>
      <x:c r="M7" s="28" t="str">
        <x:v>completed</x:v>
      </x:c>
      <x:c r="N7" s="28" t="n">
        <x:v>8</x:v>
      </x:c>
      <x:c r="O7" s="28" t="n">
        <x:v>10</x:v>
      </x:c>
      <x:c r="P7" s="28" t="n">
        <x:v>2</x:v>
      </x:c>
      <x:c r="Q7" s="28" t="n">
        <x:v>8</x:v>
      </x:c>
      <x:c r="R7" s="28" t="n">
        <x:v>10</x:v>
      </x:c>
      <x:c r="S7" s="32" t="n">
        <x:v>0.8</x:v>
      </x:c>
      <x:c r="T7" s="28" t="str">
        <x:v>lesson_usage</x:v>
      </x:c>
      <x:c r="U7" s="30" t="n">
        <x:v>46267.375</x:v>
      </x:c>
      <x:c r="V7" s="33" t="str">
        <x:v>synthetic://k12online/report</x:v>
      </x:c>
    </x:row>
    <x:row r="8">
      <x:c r="A8" s="27" t="str">
        <x:v>synthetic-007</x:v>
      </x:c>
      <x:c r="B8" s="28" t="str">
        <x:v>HS-003</x:v>
      </x:c>
      <x:c r="C8" s="28" t="str">
        <x:v>COURSE-SCI-8</x:v>
      </x:c>
      <x:c r="D8" s="28" t="str">
        <x:v>KHTN 8: Hệ hô hấp</x:v>
      </x:c>
      <x:c r="E8" s="28" t="str">
        <x:v>8A1</x:v>
      </x:c>
      <x:c r="F8" s="28" t="str">
        <x:v>LESSON-02</x:v>
      </x:c>
      <x:c r="G8" s="28" t="str">
        <x:v>Trao đổi khí</x:v>
      </x:c>
      <x:c r="H8" s="29" t="n">
        <x:v>46267</x:v>
      </x:c>
      <x:c r="I8" s="30" t="n">
        <x:v>46267.044444444444</x:v>
      </x:c>
      <x:c r="J8" s="30" t="n">
        <x:v>46267.06180555555</x:v>
      </x:c>
      <x:c r="K8" s="28" t="n">
        <x:v>25</x:v>
      </x:c>
      <x:c r="L8" s="31" t="n">
        <x:v>1</x:v>
      </x:c>
      <x:c r="M8" s="28" t="str">
        <x:v>completed</x:v>
      </x:c>
      <x:c r="N8" s="28" t="n">
        <x:v>10</x:v>
      </x:c>
      <x:c r="O8" s="28" t="n">
        <x:v>10</x:v>
      </x:c>
      <x:c r="P8" s="28" t="n">
        <x:v>1</x:v>
      </x:c>
      <x:c r="Q8" s="28" t="n">
        <x:v>10</x:v>
      </x:c>
      <x:c r="R8" s="28" t="n">
        <x:v>10</x:v>
      </x:c>
      <x:c r="S8" s="32" t="n">
        <x:v>1</x:v>
      </x:c>
      <x:c r="T8" s="28" t="str">
        <x:v>lesson_usage</x:v>
      </x:c>
      <x:c r="U8" s="30" t="n">
        <x:v>46267.375</x:v>
      </x:c>
      <x:c r="V8" s="33" t="str">
        <x:v>synthetic://k12online/report</x:v>
      </x:c>
    </x:row>
    <x:row r="9">
      <x:c r="A9" s="34" t="str">
        <x:v>synthetic-008</x:v>
      </x:c>
      <x:c r="B9" s="35" t="str">
        <x:v>HS-004</x:v>
      </x:c>
      <x:c r="C9" s="35" t="str">
        <x:v>COURSE-SCI-8</x:v>
      </x:c>
      <x:c r="D9" s="35" t="str">
        <x:v>KHTN 8: Hệ hô hấp</x:v>
      </x:c>
      <x:c r="E9" s="35" t="str">
        <x:v>8A1</x:v>
      </x:c>
      <x:c r="F9" s="35" t="str">
        <x:v>LESSON-02</x:v>
      </x:c>
      <x:c r="G9" s="35" t="str">
        <x:v>Trao đổi khí</x:v>
      </x:c>
      <x:c r="H9" s="36" t="n">
        <x:v>46267</x:v>
      </x:c>
      <x:c r="I9" s="37" t="n">
        <x:v>46267.04791666667</x:v>
      </x:c>
      <x:c r="J9" s="37" t="n">
        <x:v>46267.05486111111</x:v>
      </x:c>
      <x:c r="K9" s="35" t="n">
        <x:v>10</x:v>
      </x:c>
      <x:c r="L9" s="38" t="n">
        <x:v>0.75</x:v>
      </x:c>
      <x:c r="M9" s="35" t="str">
        <x:v>in_progress</x:v>
      </x:c>
      <x:c r="N9" s="35" t="n">
        <x:v>5</x:v>
      </x:c>
      <x:c r="O9" s="35" t="n">
        <x:v>10</x:v>
      </x:c>
      <x:c r="P9" s="35" t="n">
        <x:v>1</x:v>
      </x:c>
      <x:c r="Q9" s="35" t="n">
        <x:v>5</x:v>
      </x:c>
      <x:c r="R9" s="35" t="n">
        <x:v>10</x:v>
      </x:c>
      <x:c r="S9" s="39" t="n">
        <x:v>0.5</x:v>
      </x:c>
      <x:c r="T9" s="35" t="str">
        <x:v>lesson_usage</x:v>
      </x:c>
      <x:c r="U9" s="37" t="n">
        <x:v>46267.375</x:v>
      </x:c>
      <x:c r="V9" s="40" t="str">
        <x:v>synthetic://k12online/report</x:v>
      </x:c>
    </x:row>
  </x:sheetData>
  <x:pageMargins left="0.7" right="0.7" top="0.75" bottom="0.75" header="0.3" footer="0.3"/>
  <x:tableParts count="1">
    <x:tablePart xmlns:r="http://schemas.openxmlformats.org/officeDocument/2006/relationships" r:id="R90825dff067f4c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7.5" hidden="0" customWidth="1"/>
    <x:col min="4" max="4" width="16.25" hidden="0" customWidth="1"/>
  </x:cols>
  <x:sheetData>
    <x:row r="1">
      <x:c r="A1" s="52" t="str">
        <x:v>Column</x:v>
      </x:c>
      <x:c r="B1" s="53" t="str">
        <x:v>Meaning</x:v>
      </x:c>
      <x:c r="C1" s="53" t="str">
        <x:v>Required</x:v>
      </x:c>
      <x:c r="D1" s="54" t="str">
        <x:v>Example / validation</x:v>
      </x:c>
    </x:row>
    <x:row r="2">
      <x:c r="A2" s="55" t="str">
        <x:v>learner_pseudonym</x:v>
      </x:c>
      <x:c r="B2" s="56" t="str">
        <x:v>Stable pseudonymous learner key; never use a student name as the key.</x:v>
      </x:c>
      <x:c r="C2" s="56" t="str">
        <x:v>yes</x:v>
      </x:c>
      <x:c r="D2" s="57" t="str">
        <x:v>HS-001</x:v>
      </x:c>
    </x:row>
    <x:row r="3">
      <x:c r="A3" s="55" t="str">
        <x:v>course_external_id</x:v>
      </x:c>
      <x:c r="B3" s="56" t="str">
        <x:v>K12Online course/program identifier if supplied.</x:v>
      </x:c>
      <x:c r="C3" s="56" t="str">
        <x:v>yes</x:v>
      </x:c>
      <x:c r="D3" s="57" t="str">
        <x:v>COURSE-SCI-8</x:v>
      </x:c>
    </x:row>
    <x:row r="4">
      <x:c r="A4" s="55" t="str">
        <x:v>lesson_external_id</x:v>
      </x:c>
      <x:c r="B4" s="56" t="str">
        <x:v>K12Online lesson/content identifier if supplied.</x:v>
      </x:c>
      <x:c r="C4" s="56" t="str">
        <x:v>yes</x:v>
      </x:c>
      <x:c r="D4" s="57" t="str">
        <x:v>LESSON-01</x:v>
      </x:c>
    </x:row>
    <x:row r="5">
      <x:c r="A5" s="55" t="str">
        <x:v>completion_percent</x:v>
      </x:c>
      <x:c r="B5" s="56" t="str">
        <x:v>0–1 completion ratio; importer also accepts 0–100 and normalizes it.</x:v>
      </x:c>
      <x:c r="C5" s="56" t="str">
        <x:v>no</x:v>
      </x:c>
      <x:c r="D5" s="57" t="str">
        <x:v>1.0</x:v>
      </x:c>
    </x:row>
    <x:row r="6">
      <x:c r="A6" s="55" t="str">
        <x:v>score / max_score</x:v>
      </x:c>
      <x:c r="B6" s="56" t="str">
        <x:v>Attempt score and maximum possible score.</x:v>
      </x:c>
      <x:c r="C6" s="56" t="str">
        <x:v>no</x:v>
      </x:c>
      <x:c r="D6" s="57" t="str">
        <x:v>8 / 10</x:v>
      </x:c>
    </x:row>
    <x:row r="7">
      <x:c r="A7" s="55" t="str">
        <x:v>duration_minutes</x:v>
      </x:c>
      <x:c r="B7" s="56" t="str">
        <x:v>Time spent in minutes; must be non-negative.</x:v>
      </x:c>
      <x:c r="C7" s="56" t="str">
        <x:v>no</x:v>
      </x:c>
      <x:c r="D7" s="57" t="str">
        <x:v>18</x:v>
      </x:c>
    </x:row>
    <x:row r="8">
      <x:c r="A8" s="55" t="str">
        <x:v>correct_answers / total_questions</x:v>
      </x:c>
      <x:c r="B8" s="56" t="str">
        <x:v>Question level aggregates when the report contains them.</x:v>
      </x:c>
      <x:c r="C8" s="56" t="str">
        <x:v>no</x:v>
      </x:c>
      <x:c r="D8" s="57" t="str">
        <x:v>8 / 10</x:v>
      </x:c>
    </x:row>
    <x:row r="9">
      <x:c r="A9" s="58" t="str">
        <x:v>source_generated_at</x:v>
      </x:c>
      <x:c r="B9" s="59" t="str">
        <x:v>Timestamp of report export, used for audit/idempotency.</x:v>
      </x:c>
      <x:c r="C9" s="59" t="str">
        <x:v>yes</x:v>
      </x:c>
      <x:c r="D9" s="60" t="str">
        <x:v>2026-09-02 08:00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89" t="str">
        <x:v>K12Online analytics — dữ liệu giả lập, không chứa PII</x:v>
      </x:c>
      <x:c r="B1" s="89"/>
      <x:c r="C1" s="89"/>
      <x:c r="D1" s="89"/>
      <x:c r="E1" s="89"/>
      <x:c r="F1" s="89"/>
    </x:row>
    <x:row r="2">
      <x:c r="A2" s="90"/>
      <x:c r="B2" s="90"/>
      <x:c r="C2" s="90"/>
      <x:c r="D2" s="90"/>
      <x:c r="E2" s="90"/>
      <x:c r="F2" s="90"/>
    </x:row>
    <x:row r="3">
      <x:c r="A3" s="91" t="str">
        <x:v>Số lượt học</x:v>
      </x:c>
      <x:c r="B3" s="91" t="str">
        <x:v>Người học</x:v>
      </x:c>
      <x:c r="C3" s="91" t="str">
        <x:v>Hoàn thành</x:v>
      </x:c>
      <x:c r="D3" s="91" t="str">
        <x:v>Điểm TB</x:v>
      </x:c>
      <x:c r="E3" s="91" t="str">
        <x:v>Thời lượng TB (phút)</x:v>
      </x:c>
      <x:c r="F3" s="91" t="str">
        <x:v>Tỷ lệ đúng TB</x:v>
      </x:c>
    </x:row>
    <x:row r="4">
      <x:c r="A4" s="92" t="n">
        <x:f>COUNTA('Analytics sample'!A2:A9)</x:f>
        <x:v>8</x:v>
      </x:c>
      <x:c r="B4" s="93" t="n">
        <x:f>COUNTA(_xlfn.UNIQUE('Analytics sample'!B2:B9))</x:f>
        <x:v>4</x:v>
      </x:c>
      <x:c r="C4" s="94" t="n">
        <x:f>COUNTIF('Analytics sample'!M2:M9,"completed")/COUNTA('Analytics sample'!M2:M9)</x:f>
        <x:v>0.625</x:v>
      </x:c>
      <x:c r="D4" s="93" t="n">
        <x:f>AVERAGE('Analytics sample'!N2:N9)</x:f>
        <x:v>7.125</x:v>
      </x:c>
      <x:c r="E4" s="93" t="n">
        <x:f>AVERAGE('Analytics sample'!K2:K9)</x:f>
        <x:v>15.75</x:v>
      </x:c>
      <x:c r="F4" s="95" t="n">
        <x:f>AVERAGE('Analytics sample'!S2:S9)</x:f>
        <x:v>0.7124999999999999</x:v>
      </x:c>
    </x:row>
    <x:row r="5">
      <x:c r="A5" s="90"/>
      <x:c r="B5" s="90"/>
      <x:c r="C5" s="90"/>
      <x:c r="D5" s="90"/>
      <x:c r="E5" s="90"/>
      <x:c r="F5" s="90"/>
    </x:row>
    <x:row r="6">
      <x:c r="A6" s="90"/>
      <x:c r="B6" s="90"/>
      <x:c r="C6" s="90"/>
      <x:c r="D6" s="90"/>
      <x:c r="E6" s="90"/>
      <x:c r="F6" s="90"/>
    </x:row>
    <x:row r="7">
      <x:c r="A7" s="96" t="str">
        <x:v>Lesson</x:v>
      </x:c>
      <x:c r="B7" s="97" t="str">
        <x:v>Completion</x:v>
      </x:c>
      <x:c r="C7" s="98" t="str">
        <x:v>Average score</x:v>
      </x:c>
      <x:c r="D7" s="90"/>
      <x:c r="E7" s="90"/>
      <x:c r="F7" s="90"/>
    </x:row>
    <x:row r="8">
      <x:c r="A8" s="99" t="str">
        <x:v>Cấu tạo hệ hô hấp</x:v>
      </x:c>
      <x:c r="B8" s="100" t="n">
        <x:v>0.8125</x:v>
      </x:c>
      <x:c r="C8" s="101" t="n">
        <x:v>6.75</x:v>
      </x:c>
      <x:c r="D8" s="90"/>
      <x:c r="E8" s="90"/>
      <x:c r="F8" s="90"/>
    </x:row>
    <x:row r="9">
      <x:c r="A9" s="102" t="str">
        <x:v>Trao đổi khí</x:v>
      </x:c>
      <x:c r="B9" s="103" t="n">
        <x:v>0.875</x:v>
      </x:c>
      <x:c r="C9" s="104" t="n">
        <x:v>7.5</x:v>
      </x:c>
      <x:c r="D9" s="90"/>
      <x:c r="E9" s="90"/>
      <x:c r="F9" s="90"/>
    </x:row>
    <x:row r="10">
      <x:c r="A10" s="90"/>
      <x:c r="B10" s="90"/>
      <x:c r="C10" s="90"/>
      <x:c r="D10" s="90"/>
      <x:c r="E10" s="90"/>
      <x:c r="F10" s="90"/>
    </x:row>
  </x:sheetData>
  <x:mergeCells>
    <x:mergeCell ref="A1:F1"/>
  </x:mergeCells>
  <x:pageMargins left="0.7" right="0.7" top="0.75" bottom="0.75" header="0.3" footer="0.3"/>
</x:worksheet>
</file>